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xr:revisionPtr revIDLastSave="0" documentId="8_{0EFB8597-8DA9-4E54-9018-734BA24E14A4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ales_Data" sheetId="1" r:id="rId1"/>
    <sheet name="Analysi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" i="2" l="1"/>
  <c r="G3" i="2"/>
  <c r="H10" i="2"/>
  <c r="H9" i="2"/>
  <c r="H8" i="2"/>
  <c r="C11" i="2"/>
  <c r="C10" i="2"/>
  <c r="C9" i="2"/>
  <c r="C8" i="2"/>
  <c r="M3" i="2"/>
  <c r="J3" i="2"/>
  <c r="D3" i="2"/>
  <c r="A3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<sst xmlns="http://schemas.openxmlformats.org/spreadsheetml/2006/main" count="95" uniqueCount="37">
  <si>
    <t>Order ID</t>
  </si>
  <si>
    <t>Date</t>
  </si>
  <si>
    <t>Region</t>
  </si>
  <si>
    <t>Category</t>
  </si>
  <si>
    <t>Product</t>
  </si>
  <si>
    <t>Quantity</t>
  </si>
  <si>
    <t>Unit Price</t>
  </si>
  <si>
    <t>Total Sales</t>
  </si>
  <si>
    <t>South</t>
  </si>
  <si>
    <t>Electronics</t>
  </si>
  <si>
    <t>Mouse</t>
  </si>
  <si>
    <t>North</t>
  </si>
  <si>
    <t>Furniture</t>
  </si>
  <si>
    <t>Chair</t>
  </si>
  <si>
    <t>East</t>
  </si>
  <si>
    <t>Keyboard</t>
  </si>
  <si>
    <t>West</t>
  </si>
  <si>
    <t>Clothing</t>
  </si>
  <si>
    <t>Shirt</t>
  </si>
  <si>
    <t>Table</t>
  </si>
  <si>
    <t>Shoes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</si>
  <si>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</si>
  <si>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</si>
  <si>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</si>
  <si>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</si>
  <si>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</si>
  <si>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</si>
  <si>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</si>
  <si>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</si>
  <si>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Total Revenue</t>
  </si>
  <si>
    <t>Total Orders</t>
  </si>
  <si>
    <t>Total Quantity Sold</t>
  </si>
  <si>
    <t>Average Order Value</t>
  </si>
  <si>
    <t>Highest Sales</t>
  </si>
  <si>
    <t>Lowest Sales</t>
  </si>
  <si>
    <t>Which region generates the highest revenue?</t>
  </si>
  <si>
    <t>Which product category performs the best?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</si>
</sst>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 [$₹-446]\ * #,##0.00_ ;_ [$₹-446]\ * \-#,##0.00_ ;_ [$₹-446]\ * &quot;-&quot;??_ ;_ @_ "/>
    <numFmt numFmtId="168" formatCode="_ [$₹-448]\ * #,##0.00_ ;_ [$₹-448]\ * \-#,##0.00_ ;_ [$₹-448]\ * &quot;-&quot;??_ ;_ @_ 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Consolas"/>
      <charset val="1"/>
    </font>
    <font>
      <b/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65" fontId="1" fillId="0" borderId="0" xfId="0" applyNumberFormat="1" applyFont="1"/>
    <xf numFmtId="168" fontId="1" fillId="0" borderId="0" xfId="0" applyNumberFormat="1" applyFont="1"/>
    <xf numFmtId="0" fontId="0" fillId="4" borderId="0" xfId="0" applyFont="1" applyFill="1" applyAlignment="1">
      <alignment horizontal="center"/>
    </xf>
    <xf numFmtId="0" fontId="0" fillId="4" borderId="0" xfId="0" applyFont="1" applyFill="1"/>
    <xf numFmtId="0" fontId="0" fillId="4" borderId="0" xfId="0" applyFont="1" applyFill="1" applyAlignment="1">
      <alignment horizont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 [$₹-448]\ * #,##0.00_ ;_ [$₹-448]\ * \-#,##0.00_ ;_ [$₹-448]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[$₹-446]\ * #,##0.00_ ;_ [$₹-446]\ * \-#,##0.00_ ;_ [$₹-446]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and Revenue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C65911"/>
            </a:solidFill>
            <a:ln w="1270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Analysis!$B$8:$B$11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Analysis!$C$8:$C$11</c:f>
              <c:numCache>
                <c:formatCode>_ [$₹-446]\ * #,##0.00_ ;_ [$₹-446]\ * \-#,##0.00_ ;_ [$₹-446]\ * "-"??_ ;_ @_ </c:formatCode>
                <c:ptCount val="4"/>
                <c:pt idx="0">
                  <c:v>30100</c:v>
                </c:pt>
                <c:pt idx="1">
                  <c:v>41500</c:v>
                </c:pt>
                <c:pt idx="2">
                  <c:v>34500</c:v>
                </c:pt>
                <c:pt idx="3">
                  <c:v>27600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D-439D-87CC-F847D25F4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2776199"/>
        <c:axId val="1717937671"/>
      </c:barChart>
      <c:catAx>
        <c:axId val="1712776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000000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937671"/>
        <c:crosses val="autoZero"/>
        <c:auto val="1"/>
        <c:lblAlgn val="ctr"/>
        <c:lblOffset val="100"/>
        <c:noMultiLvlLbl val="0"/>
      </c:catAx>
      <c:valAx>
        <c:axId val="1717937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46]\ * #,##0.00_ ;_ [$₹-446]\ * \-#,##0.00_ ;_ [$₹-446]\ * &quot;-&quot;??_ ;_ @_ " sourceLinked="1"/>
        <c:majorTickMark val="none"/>
        <c:minorTickMark val="none"/>
        <c:tickLblPos val="nextTo"/>
        <c:spPr>
          <a:solidFill>
            <a:srgbClr val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776199"/>
        <c:crosses val="autoZero"/>
        <c:crossBetween val="between"/>
      </c:valAx>
      <c:dTable>
        <c:showHorzBorder val="0"/>
        <c:showVertBorder val="0"/>
        <c:showOutline val="0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Product and Revenue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Analysis!$G$8:$G$10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</c:strCache>
            </c:strRef>
          </c:cat>
          <c:val>
            <c:numRef>
              <c:f>Analysis!$H$8:$H$10</c:f>
              <c:numCache>
                <c:formatCode>_ [$₹-448]\ * #,##0.00_ ;_ [$₹-448]\ * \-#,##0.00_ ;_ [$₹-448]\ * "-"??_ ;_ @_ </c:formatCode>
                <c:ptCount val="3"/>
                <c:pt idx="0">
                  <c:v>26300</c:v>
                </c:pt>
                <c:pt idx="1">
                  <c:v>65000</c:v>
                </c:pt>
                <c:pt idx="2">
                  <c:v>42400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8F-4E5E-92B4-5CB3CDFD9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12</xdr:row>
      <xdr:rowOff>38100</xdr:rowOff>
    </xdr:from>
    <xdr:to>
      <xdr:col>4</xdr:col>
      <xdr:colOff>409575</xdr:colOff>
      <xdr:row>24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AF21C0-CB9E-7CF3-0EA0-AE692034A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180975</xdr:colOff>
      <xdr:row>11</xdr:row>
      <xdr:rowOff>114300</xdr:rowOff>
    </xdr:from>
    <xdr:to>
      <xdr:col>8</xdr:col>
      <xdr:colOff>552450</xdr:colOff>
      <xdr:row>23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41A56C2-F903-7420-34FD-02EBD064FB6A}"/>
            </a:ext>
            <a:ext uri="{147F2762-F138-4A5C-976F-8EAC2B608ADB}">
              <a16:predDERef xmlns:a16="http://schemas.microsoft.com/office/drawing/2014/main" pred="{B3AF21C0-CB9E-7CF3-0EA0-AE692034A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DA7F04-60EB-4A82-9243-E87ADD493034}" name="Table2" displayName="Table2" ref="B7:C11" totalsRowShown="0" headerRowDxfId="5">
  <autoFilter ref="B7:C11" xr:uid="{87DA7F04-60EB-4A82-9243-E87ADD493034}"/>
  <tableColumns count="2">
    <tableColumn id="1" xr3:uid="{B77CEEDE-0B6A-424F-9D80-030BAD1A6DA3}" name="Region" dataDxfId="4"/>
    <tableColumn id="2" xr3:uid="{A7A335D0-45B3-44A9-B94C-676EF6067CB0}" name="Total Revenu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917E77-7401-47CE-A626-B30B8711BFA2}" name="Table3" displayName="Table3" ref="G7:H10" totalsRowShown="0" headerRowDxfId="2">
  <autoFilter ref="G7:H10" xr:uid="{C1917E77-7401-47CE-A626-B30B8711BFA2}"/>
  <tableColumns count="2">
    <tableColumn id="1" xr3:uid="{8D124333-99E8-418A-A86E-5A613A194896}" name="Category" dataDxfId="1"/>
    <tableColumn id="2" xr3:uid="{E26F7420-3C3A-4E09-A94B-B257E085682B}" name="Total 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D5" sqref="D5"/>
    </sheetView>
  </sheetViews>
  <sheetFormatPr defaultRowHeight="15"/>
  <cols>
    <col min="2" max="2" width="11.140625" bestFit="1" customWidth="1"/>
    <col min="4" max="4" width="10.5703125" bestFit="1" customWidth="1"/>
    <col min="5" max="5" width="9.42578125" bestFit="1" customWidth="1"/>
    <col min="8" max="8" width="10.42578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s="2">
        <v>46023</v>
      </c>
      <c r="C2" t="s">
        <v>8</v>
      </c>
      <c r="D2" t="s">
        <v>9</v>
      </c>
      <c r="E2" t="s">
        <v>10</v>
      </c>
      <c r="F2">
        <v>5</v>
      </c>
      <c r="G2">
        <v>500</v>
      </c>
      <c r="H2">
        <f>F2*G2</f>
        <v>2500</v>
      </c>
    </row>
    <row r="3" spans="1:8">
      <c r="A3">
        <v>1002</v>
      </c>
      <c r="B3" s="2">
        <v>46054</v>
      </c>
      <c r="C3" t="s">
        <v>11</v>
      </c>
      <c r="D3" t="s">
        <v>12</v>
      </c>
      <c r="E3" t="s">
        <v>13</v>
      </c>
      <c r="F3">
        <v>2</v>
      </c>
      <c r="G3">
        <v>2500</v>
      </c>
      <c r="H3">
        <f t="shared" ref="H3:H21" si="0">F3*G3</f>
        <v>5000</v>
      </c>
    </row>
    <row r="4" spans="1:8">
      <c r="A4">
        <v>1003</v>
      </c>
      <c r="B4" s="2">
        <v>46082</v>
      </c>
      <c r="C4" t="s">
        <v>14</v>
      </c>
      <c r="D4" t="s">
        <v>9</v>
      </c>
      <c r="E4" t="s">
        <v>15</v>
      </c>
      <c r="F4">
        <v>3</v>
      </c>
      <c r="G4">
        <v>1200</v>
      </c>
      <c r="H4">
        <f t="shared" si="0"/>
        <v>3600</v>
      </c>
    </row>
    <row r="5" spans="1:8">
      <c r="A5">
        <v>1004</v>
      </c>
      <c r="B5" s="2">
        <v>46113</v>
      </c>
      <c r="C5" t="s">
        <v>16</v>
      </c>
      <c r="D5" t="s">
        <v>17</v>
      </c>
      <c r="E5" t="s">
        <v>18</v>
      </c>
      <c r="F5">
        <v>10</v>
      </c>
      <c r="G5">
        <v>800</v>
      </c>
      <c r="H5">
        <f t="shared" si="0"/>
        <v>8000</v>
      </c>
    </row>
    <row r="6" spans="1:8">
      <c r="A6">
        <v>1005</v>
      </c>
      <c r="B6" s="2">
        <v>46143</v>
      </c>
      <c r="C6" t="s">
        <v>8</v>
      </c>
      <c r="D6" t="s">
        <v>12</v>
      </c>
      <c r="E6" t="s">
        <v>19</v>
      </c>
      <c r="F6">
        <v>1</v>
      </c>
      <c r="G6">
        <v>6000</v>
      </c>
      <c r="H6">
        <f t="shared" si="0"/>
        <v>6000</v>
      </c>
    </row>
    <row r="7" spans="1:8">
      <c r="A7">
        <v>1006</v>
      </c>
      <c r="B7" s="2">
        <v>46174</v>
      </c>
      <c r="C7" t="s">
        <v>11</v>
      </c>
      <c r="D7" t="s">
        <v>17</v>
      </c>
      <c r="E7" t="s">
        <v>20</v>
      </c>
      <c r="F7">
        <v>4</v>
      </c>
      <c r="G7">
        <v>2000</v>
      </c>
      <c r="H7">
        <f t="shared" si="0"/>
        <v>8000</v>
      </c>
    </row>
    <row r="8" spans="1:8">
      <c r="A8">
        <v>1007</v>
      </c>
      <c r="B8" s="2">
        <v>46204</v>
      </c>
      <c r="C8" t="s">
        <v>14</v>
      </c>
      <c r="D8" t="s">
        <v>9</v>
      </c>
      <c r="E8" t="s">
        <v>10</v>
      </c>
      <c r="F8">
        <v>8</v>
      </c>
      <c r="G8">
        <v>500</v>
      </c>
      <c r="H8">
        <f t="shared" si="0"/>
        <v>4000</v>
      </c>
    </row>
    <row r="9" spans="1:8">
      <c r="A9">
        <v>1008</v>
      </c>
      <c r="B9" s="2">
        <v>46235</v>
      </c>
      <c r="C9" t="s">
        <v>16</v>
      </c>
      <c r="D9" t="s">
        <v>12</v>
      </c>
      <c r="E9" t="s">
        <v>13</v>
      </c>
      <c r="F9">
        <v>3</v>
      </c>
      <c r="G9">
        <v>2500</v>
      </c>
      <c r="H9">
        <f t="shared" si="0"/>
        <v>7500</v>
      </c>
    </row>
    <row r="10" spans="1:8">
      <c r="A10">
        <v>1009</v>
      </c>
      <c r="B10" s="2">
        <v>46266</v>
      </c>
      <c r="C10" t="s">
        <v>8</v>
      </c>
      <c r="D10" t="s">
        <v>17</v>
      </c>
      <c r="E10" t="s">
        <v>18</v>
      </c>
      <c r="F10">
        <v>6</v>
      </c>
      <c r="G10">
        <v>800</v>
      </c>
      <c r="H10">
        <f t="shared" si="0"/>
        <v>4800</v>
      </c>
    </row>
    <row r="11" spans="1:8">
      <c r="A11">
        <v>1010</v>
      </c>
      <c r="B11" s="2">
        <v>46296</v>
      </c>
      <c r="C11" t="s">
        <v>11</v>
      </c>
      <c r="D11" t="s">
        <v>9</v>
      </c>
      <c r="E11" t="s">
        <v>15</v>
      </c>
      <c r="F11">
        <v>5</v>
      </c>
      <c r="G11">
        <v>1200</v>
      </c>
      <c r="H11">
        <f t="shared" si="0"/>
        <v>6000</v>
      </c>
    </row>
    <row r="12" spans="1:8">
      <c r="A12">
        <v>1011</v>
      </c>
      <c r="B12" s="2">
        <v>46327</v>
      </c>
      <c r="C12" t="s">
        <v>14</v>
      </c>
      <c r="D12" t="s">
        <v>12</v>
      </c>
      <c r="E12" t="s">
        <v>19</v>
      </c>
      <c r="F12">
        <v>2</v>
      </c>
      <c r="G12">
        <v>6000</v>
      </c>
      <c r="H12">
        <f t="shared" si="0"/>
        <v>12000</v>
      </c>
    </row>
    <row r="13" spans="1:8">
      <c r="A13">
        <v>1012</v>
      </c>
      <c r="B13" s="2">
        <v>46357</v>
      </c>
      <c r="C13" t="s">
        <v>16</v>
      </c>
      <c r="D13" t="s">
        <v>17</v>
      </c>
      <c r="E13" t="s">
        <v>20</v>
      </c>
      <c r="F13">
        <v>3</v>
      </c>
      <c r="G13">
        <v>2000</v>
      </c>
      <c r="H13">
        <f t="shared" si="0"/>
        <v>6000</v>
      </c>
    </row>
    <row r="14" spans="1:8">
      <c r="A14">
        <v>1013</v>
      </c>
      <c r="B14" t="s">
        <v>21</v>
      </c>
      <c r="C14" t="s">
        <v>8</v>
      </c>
      <c r="D14" t="s">
        <v>9</v>
      </c>
      <c r="E14" t="s">
        <v>15</v>
      </c>
      <c r="F14">
        <v>4</v>
      </c>
      <c r="G14">
        <v>1200</v>
      </c>
      <c r="H14">
        <f t="shared" si="0"/>
        <v>4800</v>
      </c>
    </row>
    <row r="15" spans="1:8">
      <c r="A15">
        <v>1014</v>
      </c>
      <c r="B15" t="s">
        <v>22</v>
      </c>
      <c r="C15" t="s">
        <v>11</v>
      </c>
      <c r="D15" t="s">
        <v>12</v>
      </c>
      <c r="E15" t="s">
        <v>13</v>
      </c>
      <c r="F15">
        <v>5</v>
      </c>
      <c r="G15">
        <v>2500</v>
      </c>
      <c r="H15">
        <f t="shared" si="0"/>
        <v>12500</v>
      </c>
    </row>
    <row r="16" spans="1:8">
      <c r="A16">
        <v>1015</v>
      </c>
      <c r="B16" t="s">
        <v>23</v>
      </c>
      <c r="C16" t="s">
        <v>14</v>
      </c>
      <c r="D16" t="s">
        <v>17</v>
      </c>
      <c r="E16" t="s">
        <v>18</v>
      </c>
      <c r="F16">
        <v>7</v>
      </c>
      <c r="G16">
        <v>800</v>
      </c>
      <c r="H16">
        <f t="shared" si="0"/>
        <v>5600</v>
      </c>
    </row>
    <row r="17" spans="1:8">
      <c r="A17">
        <v>1016</v>
      </c>
      <c r="B17" t="s">
        <v>24</v>
      </c>
      <c r="C17" t="s">
        <v>16</v>
      </c>
      <c r="D17" t="s">
        <v>9</v>
      </c>
      <c r="E17" t="s">
        <v>10</v>
      </c>
      <c r="F17">
        <v>6</v>
      </c>
      <c r="G17">
        <v>500</v>
      </c>
      <c r="H17">
        <f t="shared" si="0"/>
        <v>3000</v>
      </c>
    </row>
    <row r="18" spans="1:8">
      <c r="A18">
        <v>1017</v>
      </c>
      <c r="B18" t="s">
        <v>25</v>
      </c>
      <c r="C18" t="s">
        <v>8</v>
      </c>
      <c r="D18" t="s">
        <v>12</v>
      </c>
      <c r="E18" t="s">
        <v>19</v>
      </c>
      <c r="F18">
        <v>2</v>
      </c>
      <c r="G18">
        <v>6000</v>
      </c>
      <c r="H18">
        <f t="shared" si="0"/>
        <v>12000</v>
      </c>
    </row>
    <row r="19" spans="1:8">
      <c r="A19">
        <v>1018</v>
      </c>
      <c r="B19" t="s">
        <v>26</v>
      </c>
      <c r="C19" t="s">
        <v>11</v>
      </c>
      <c r="D19" t="s">
        <v>17</v>
      </c>
      <c r="E19" t="s">
        <v>20</v>
      </c>
      <c r="F19">
        <v>5</v>
      </c>
      <c r="G19">
        <v>2000</v>
      </c>
      <c r="H19">
        <f t="shared" si="0"/>
        <v>10000</v>
      </c>
    </row>
    <row r="20" spans="1:8">
      <c r="A20">
        <v>1019</v>
      </c>
      <c r="B20" t="s">
        <v>27</v>
      </c>
      <c r="C20" t="s">
        <v>14</v>
      </c>
      <c r="D20" t="s">
        <v>9</v>
      </c>
      <c r="E20" t="s">
        <v>15</v>
      </c>
      <c r="F20">
        <v>2</v>
      </c>
      <c r="G20">
        <v>1200</v>
      </c>
      <c r="H20">
        <f t="shared" si="0"/>
        <v>2400</v>
      </c>
    </row>
    <row r="21" spans="1:8">
      <c r="A21">
        <v>1020</v>
      </c>
      <c r="B21" t="s">
        <v>28</v>
      </c>
      <c r="C21" t="s">
        <v>16</v>
      </c>
      <c r="D21" t="s">
        <v>12</v>
      </c>
      <c r="E21" t="s">
        <v>13</v>
      </c>
      <c r="F21">
        <v>4</v>
      </c>
      <c r="G21">
        <v>2500</v>
      </c>
      <c r="H21">
        <f t="shared" si="0"/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C17D-8A79-4DDF-A061-0D76900CC543}">
  <dimension ref="A1:Q13"/>
  <sheetViews>
    <sheetView tabSelected="1" workbookViewId="0">
      <selection activeCell="P1" sqref="P1:Q4"/>
    </sheetView>
  </sheetViews>
  <sheetFormatPr defaultRowHeight="15"/>
  <cols>
    <col min="1" max="1" width="13.7109375" bestFit="1" customWidth="1"/>
    <col min="2" max="2" width="18.140625" bestFit="1" customWidth="1"/>
    <col min="3" max="3" width="16.28515625" customWidth="1"/>
    <col min="5" max="5" width="19.7109375" customWidth="1"/>
    <col min="6" max="6" width="16.28515625" bestFit="1" customWidth="1"/>
    <col min="7" max="7" width="21" customWidth="1"/>
    <col min="8" max="8" width="16.28515625" bestFit="1" customWidth="1"/>
    <col min="10" max="10" width="12.28515625" customWidth="1"/>
  </cols>
  <sheetData>
    <row r="1" spans="1:17">
      <c r="A1" s="4" t="s">
        <v>29</v>
      </c>
      <c r="B1" s="5"/>
      <c r="D1" s="7" t="s">
        <v>30</v>
      </c>
      <c r="E1" s="7"/>
      <c r="G1" s="9" t="s">
        <v>31</v>
      </c>
      <c r="H1" s="9"/>
      <c r="J1" s="10" t="s">
        <v>32</v>
      </c>
      <c r="K1" s="10"/>
      <c r="M1" s="11" t="s">
        <v>33</v>
      </c>
      <c r="N1" s="11"/>
      <c r="P1" s="14" t="s">
        <v>34</v>
      </c>
      <c r="Q1" s="14"/>
    </row>
    <row r="2" spans="1:17">
      <c r="A2" s="5"/>
      <c r="B2" s="5"/>
      <c r="D2" s="7"/>
      <c r="E2" s="7"/>
      <c r="G2" s="9"/>
      <c r="H2" s="9"/>
      <c r="J2" s="10"/>
      <c r="K2" s="10"/>
      <c r="M2" s="11"/>
      <c r="N2" s="11"/>
      <c r="P2" s="14"/>
      <c r="Q2" s="14"/>
    </row>
    <row r="3" spans="1:17">
      <c r="A3" s="5">
        <f>SUM(Sales_Data!H2:H21)</f>
        <v>133700</v>
      </c>
      <c r="B3" s="5"/>
      <c r="D3" s="8">
        <f>COUNTA(Sales_Data!A2:A21)</f>
        <v>20</v>
      </c>
      <c r="E3" s="8"/>
      <c r="G3" s="9">
        <f>SUM(Sales_Data!F2:F21)</f>
        <v>87</v>
      </c>
      <c r="H3" s="9"/>
      <c r="J3" s="10">
        <f>AVERAGE(Sales_Data!H2:H21)</f>
        <v>6685</v>
      </c>
      <c r="K3" s="10"/>
      <c r="M3" s="11">
        <f>MAX(Sales_Data!H2:H21)</f>
        <v>12500</v>
      </c>
      <c r="N3" s="11"/>
      <c r="P3" s="14">
        <f>MIN(Sales_Data!H2:H21)</f>
        <v>2400</v>
      </c>
      <c r="Q3" s="14"/>
    </row>
    <row r="4" spans="1:17">
      <c r="E4" s="6"/>
      <c r="M4" s="3"/>
      <c r="P4" s="15"/>
      <c r="Q4" s="16"/>
    </row>
    <row r="5" spans="1:17">
      <c r="B5" s="1" t="s">
        <v>35</v>
      </c>
      <c r="C5" s="1"/>
      <c r="D5" s="1"/>
      <c r="E5" s="6"/>
      <c r="G5" s="1" t="s">
        <v>36</v>
      </c>
      <c r="H5" s="1"/>
    </row>
    <row r="6" spans="1:17">
      <c r="J6" s="1"/>
    </row>
    <row r="7" spans="1:17">
      <c r="B7" s="1" t="s">
        <v>2</v>
      </c>
      <c r="C7" s="1" t="s">
        <v>29</v>
      </c>
      <c r="G7" s="1" t="s">
        <v>3</v>
      </c>
      <c r="H7" s="1" t="s">
        <v>29</v>
      </c>
    </row>
    <row r="8" spans="1:17">
      <c r="B8" s="1" t="s">
        <v>8</v>
      </c>
      <c r="C8" s="12">
        <f>SUMIF(Sales_Data!C:C,"South",Sales_Data!H:H)</f>
        <v>30100</v>
      </c>
      <c r="G8" s="1" t="s">
        <v>9</v>
      </c>
      <c r="H8" s="13">
        <f>SUMIF(Sales_Data!D:D,"Electronics",Sales_Data!H:H)</f>
        <v>26300</v>
      </c>
    </row>
    <row r="9" spans="1:17">
      <c r="B9" s="1" t="s">
        <v>11</v>
      </c>
      <c r="C9" s="12">
        <f>SUMIF(Sales_Data!C:C,"North",Sales_Data!H:H)</f>
        <v>41500</v>
      </c>
      <c r="G9" s="1" t="s">
        <v>12</v>
      </c>
      <c r="H9" s="13">
        <f>SUMIF(Sales_Data!D:D,"Furniture",Sales_Data!H:H)</f>
        <v>65000</v>
      </c>
    </row>
    <row r="10" spans="1:17">
      <c r="B10" s="1" t="s">
        <v>16</v>
      </c>
      <c r="C10" s="12">
        <f>SUMIF(Sales_Data!C:C,"West",Sales_Data!H:H)</f>
        <v>34500</v>
      </c>
      <c r="G10" s="1" t="s">
        <v>17</v>
      </c>
      <c r="H10" s="13">
        <f>SUMIF(Sales_Data!D:D,"Clothing",Sales_Data!H:H)</f>
        <v>42400</v>
      </c>
    </row>
    <row r="11" spans="1:17">
      <c r="B11" s="1" t="s">
        <v>14</v>
      </c>
      <c r="C11" s="12">
        <f>SUMIF(Sales_Data!C:C,"East",Sales_Data!H:H)</f>
        <v>27600</v>
      </c>
    </row>
    <row r="13" spans="1:17">
      <c r="C13" s="1"/>
    </row>
  </sheetData>
  <mergeCells count="12">
    <mergeCell ref="P1:Q2"/>
    <mergeCell ref="P3:Q3"/>
    <mergeCell ref="J1:K2"/>
    <mergeCell ref="J3:K3"/>
    <mergeCell ref="M1:N2"/>
    <mergeCell ref="M3:N3"/>
    <mergeCell ref="A1:B2"/>
    <mergeCell ref="A3:B3"/>
    <mergeCell ref="D1:E2"/>
    <mergeCell ref="D3:E3"/>
    <mergeCell ref="G1:H2"/>
    <mergeCell ref="G3:H3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2026-10-12T06:33:11Z</dcterms:created>
  <dcterms:modified xsi:type="dcterms:W3CDTF">2026-10-12T14:38:52Z</dcterms:modified>
  <cp:category/>
  <cp:contentStatus/>
</cp:coreProperties>
</file>